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Checklist" sheetId="2" state="visible" r:id="rId2"/>
    <sheet xmlns:r="http://schemas.openxmlformats.org/officeDocument/2006/relationships" name="Lists" sheetId="3" state="visible" r:id="rId3"/>
    <sheet xmlns:r="http://schemas.openxmlformats.org/officeDocument/2006/relationships" name="About" sheetId="4" state="visible" r:id="rId4"/>
  </sheets>
  <definedNames>
    <definedName name="_xlnm._FilterDatabase" localSheetId="1" hidden="1">'Checklist'!$A$5:$P$17</definedName>
    <definedName name="_xlnm.Print_Titles" localSheetId="1">'Checklist'!$5:$5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%;-0%;-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8"/>
    </font>
    <font>
      <name val="Arial"/>
      <i val="1"/>
      <color rgb="00595959"/>
      <sz val="10"/>
    </font>
    <font>
      <name val="Arial"/>
      <color rgb="00595959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3864"/>
      <sz val="10"/>
    </font>
    <font>
      <name val="Arial"/>
      <i val="1"/>
      <color rgb="00595959"/>
      <sz val="9"/>
    </font>
    <font>
      <name val="Arial"/>
      <b val="1"/>
    </font>
    <font>
      <name val="Arial"/>
    </font>
    <font>
      <name val="Arial"/>
      <b val="1"/>
      <color rgb="00FFFFFF"/>
    </font>
    <font>
      <name val="Arial"/>
      <color rgb="00008000"/>
    </font>
    <font>
      <name val="Arial"/>
      <b val="1"/>
      <color rgb="002E75B6"/>
    </font>
    <font>
      <name val="Arial"/>
      <b val="1"/>
      <color rgb="001F3864"/>
      <sz val="12"/>
    </font>
    <font>
      <name val="Arial"/>
      <b val="1"/>
      <color rgb="001F3864"/>
      <sz val="14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9DB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0" fillId="2" borderId="0" pivotButton="0" quotePrefix="0" xfId="0"/>
    <xf numFmtId="0" fontId="11" fillId="0" borderId="0" pivotButton="0" quotePrefix="0" xfId="0"/>
    <xf numFmtId="0" fontId="9" fillId="0" borderId="0" pivotButton="0" quotePrefix="0" xfId="0"/>
    <xf numFmtId="0" fontId="8" fillId="0" borderId="0" pivotButton="0" quotePrefix="0" xfId="0"/>
    <xf numFmtId="165" fontId="12" fillId="0" borderId="0" pivotButton="0" quotePrefix="0" xfId="0"/>
    <xf numFmtId="0" fontId="13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164" fontId="5" fillId="3" borderId="1" applyAlignment="1" pivotButton="0" quotePrefix="0" xfId="0">
      <alignment vertical="top" wrapText="1"/>
    </xf>
    <xf numFmtId="0" fontId="7" fillId="0" borderId="0" pivotButton="0" quotePrefix="0" xfId="0"/>
    <xf numFmtId="0" fontId="14" fillId="0" borderId="0" pivotButton="0" quotePrefix="0" xfId="0"/>
    <xf numFmtId="0" fontId="6" fillId="0" borderId="0" pivotButton="0" quotePrefix="0" xfId="0"/>
    <xf numFmtId="0" fontId="9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F2F2F2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</cols>
  <sheetData>
    <row r="1">
      <c r="A1" s="1" t="inlineStr">
        <is>
          <t>AI Governance — progress</t>
        </is>
      </c>
    </row>
    <row r="2">
      <c r="A2" s="2" t="inlineStr">
        <is>
          <t>Calculated live from the Status column on the Checklist sheet.</t>
        </is>
      </c>
    </row>
    <row r="4">
      <c r="A4" s="3" t="inlineStr">
        <is>
          <t>Status</t>
        </is>
      </c>
      <c r="B4" s="3" t="inlineStr">
        <is>
          <t>Controls</t>
        </is>
      </c>
    </row>
    <row r="5">
      <c r="A5" s="4">
        <f>Lists!A2</f>
        <v/>
      </c>
      <c r="B5" s="5">
        <f>COUNTIF(Checklist!$L$6:$L$17,A5)</f>
        <v/>
      </c>
    </row>
    <row r="6">
      <c r="A6" s="4">
        <f>Lists!A3</f>
        <v/>
      </c>
      <c r="B6" s="5">
        <f>COUNTIF(Checklist!$L$6:$L$17,A6)</f>
        <v/>
      </c>
    </row>
    <row r="7">
      <c r="A7" s="4">
        <f>Lists!A4</f>
        <v/>
      </c>
      <c r="B7" s="5">
        <f>COUNTIF(Checklist!$L$6:$L$17,A7)</f>
        <v/>
      </c>
    </row>
    <row r="8">
      <c r="A8" s="4">
        <f>Lists!A5</f>
        <v/>
      </c>
      <c r="B8" s="5">
        <f>COUNTIF(Checklist!$L$6:$L$17,A8)</f>
        <v/>
      </c>
    </row>
    <row r="9">
      <c r="A9" s="4">
        <f>Lists!A6</f>
        <v/>
      </c>
      <c r="B9" s="5">
        <f>COUNTIF(Checklist!$L$6:$L$17,A9)</f>
        <v/>
      </c>
    </row>
    <row r="10">
      <c r="A10" s="6" t="inlineStr">
        <is>
          <t>Total controls</t>
        </is>
      </c>
      <c r="B10" s="6">
        <f>COUNTA(Checklist!$L$6:$L$17)</f>
        <v/>
      </c>
    </row>
    <row r="12">
      <c r="A12" s="5" t="inlineStr">
        <is>
          <t>In scope (excludes Not applicable)</t>
        </is>
      </c>
      <c r="B12" s="5">
        <f>B10-B9</f>
        <v/>
      </c>
    </row>
    <row r="13">
      <c r="A13" s="5" t="inlineStr">
        <is>
          <t>Implemented or evidenced</t>
        </is>
      </c>
      <c r="B13" s="5">
        <f>B7+B8</f>
        <v/>
      </c>
    </row>
    <row r="14">
      <c r="A14" s="6" t="inlineStr">
        <is>
          <t>Coverage (implemented or evidenced)</t>
        </is>
      </c>
      <c r="B14" s="7">
        <f>IF(B12=0,0,B13/B12)</f>
        <v/>
      </c>
    </row>
    <row r="15">
      <c r="A15" s="6" t="inlineStr">
        <is>
          <t>Audit-ready (evidenced only)</t>
        </is>
      </c>
      <c r="B15" s="7">
        <f>IF(B12=0,0,B8/B12)</f>
        <v/>
      </c>
    </row>
    <row r="17">
      <c r="A17" s="8" t="inlineStr">
        <is>
          <t>By area</t>
        </is>
      </c>
    </row>
    <row r="18">
      <c r="A18" s="6" t="inlineStr">
        <is>
          <t>Area</t>
        </is>
      </c>
      <c r="B18" s="6" t="inlineStr">
        <is>
          <t>Controls</t>
        </is>
      </c>
      <c r="C18" s="6" t="inlineStr">
        <is>
          <t>Evidenced</t>
        </is>
      </c>
    </row>
    <row r="19">
      <c r="A19" s="5" t="inlineStr">
        <is>
          <t>Foundations</t>
        </is>
      </c>
      <c r="B19" s="5">
        <f>COUNTIF(Checklist!$B$6:$B$17,A19)</f>
        <v/>
      </c>
      <c r="C19" s="5">
        <f>COUNTIFS(Checklist!$B$6:$B$17,A19,Checklist!$L$6:$L$17,"Evidenced")</f>
        <v/>
      </c>
    </row>
    <row r="20">
      <c r="A20" s="5" t="inlineStr">
        <is>
          <t>Accountability</t>
        </is>
      </c>
      <c r="B20" s="5">
        <f>COUNTIF(Checklist!$B$6:$B$17,A20)</f>
        <v/>
      </c>
      <c r="C20" s="5">
        <f>COUNTIFS(Checklist!$B$6:$B$17,A20,Checklist!$L$6:$L$17,"Evidenced")</f>
        <v/>
      </c>
    </row>
    <row r="21">
      <c r="A21" s="5" t="inlineStr">
        <is>
          <t>Transparency</t>
        </is>
      </c>
      <c r="B21" s="5">
        <f>COUNTIF(Checklist!$B$6:$B$17,A21)</f>
        <v/>
      </c>
      <c r="C21" s="5">
        <f>COUNTIFS(Checklist!$B$6:$B$17,A21,Checklist!$L$6:$L$17,"Evidenced")</f>
        <v/>
      </c>
    </row>
    <row r="22">
      <c r="A22" s="5" t="inlineStr">
        <is>
          <t>Trustworthiness</t>
        </is>
      </c>
      <c r="B22" s="5">
        <f>COUNTIF(Checklist!$B$6:$B$17,A22)</f>
        <v/>
      </c>
      <c r="C22" s="5">
        <f>COUNTIFS(Checklist!$B$6:$B$17,A22,Checklist!$L$6:$L$17,"Evidenced")</f>
        <v/>
      </c>
    </row>
    <row r="23">
      <c r="A23" s="5" t="inlineStr">
        <is>
          <t>Protection</t>
        </is>
      </c>
      <c r="B23" s="5">
        <f>COUNTIF(Checklist!$B$6:$B$17,A23)</f>
        <v/>
      </c>
      <c r="C23" s="5">
        <f>COUNTIFS(Checklist!$B$6:$B$17,A23,Checklist!$L$6:$L$17,"Evidenced")</f>
        <v/>
      </c>
    </row>
    <row r="24">
      <c r="A24" s="5" t="inlineStr">
        <is>
          <t>Operations</t>
        </is>
      </c>
      <c r="B24" s="5">
        <f>COUNTIF(Checklist!$B$6:$B$17,A24)</f>
        <v/>
      </c>
      <c r="C24" s="5">
        <f>COUNTIFS(Checklist!$B$6:$B$17,A24,Checklist!$L$6:$L$17,"Evidenced")</f>
        <v/>
      </c>
    </row>
    <row r="25">
      <c r="A25" s="5" t="inlineStr">
        <is>
          <t>Assurance</t>
        </is>
      </c>
      <c r="B25" s="5">
        <f>COUNTIF(Checklist!$B$6:$B$17,A25)</f>
        <v/>
      </c>
      <c r="C25" s="5">
        <f>COUNTIFS(Checklist!$B$6:$B$17,A25,Checklist!$L$6:$L$17,"Evidenced")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20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6" customWidth="1" min="3" max="3"/>
    <col width="44" customWidth="1" min="4" max="4"/>
    <col width="44" customWidth="1" min="5" max="5"/>
    <col width="40" customWidth="1" min="6" max="6"/>
    <col width="22" customWidth="1" min="7" max="7"/>
    <col width="20" customWidth="1" min="8" max="8"/>
    <col width="20" customWidth="1" min="9" max="9"/>
    <col width="26" customWidth="1" min="10" max="10"/>
    <col width="32" customWidth="1" min="11" max="11"/>
    <col width="15" customWidth="1" min="12" max="12"/>
    <col width="18" customWidth="1" min="13" max="13"/>
    <col width="13" customWidth="1" min="14" max="14"/>
    <col width="28" customWidth="1" min="15" max="15"/>
    <col width="30" customWidth="1" min="16" max="16"/>
  </cols>
  <sheetData>
    <row r="1">
      <c r="A1" s="1" t="inlineStr">
        <is>
          <t>AI Governance Checklist</t>
        </is>
      </c>
    </row>
    <row r="2">
      <c r="A2" s="2" t="inlineStr">
        <is>
          <t>Twelve controls to build, run and evidence responsible AI at enterprise scale.</t>
        </is>
      </c>
    </row>
    <row r="3">
      <c r="A3" s="9" t="inlineStr">
        <is>
          <t>Edit only the yellow columns (Status, Assigned to, Target date, Evidence link, Notes). Status values come from the dropdown. Version 1.1.0 · 2026-10-26.</t>
        </is>
      </c>
    </row>
    <row r="5">
      <c r="A5" s="10" t="inlineStr">
        <is>
          <t>#</t>
        </is>
      </c>
      <c r="B5" s="10" t="inlineStr">
        <is>
          <t>Area</t>
        </is>
      </c>
      <c r="C5" s="10" t="inlineStr">
        <is>
          <t>Control</t>
        </is>
      </c>
      <c r="D5" s="10" t="inlineStr">
        <is>
          <t>Description</t>
        </is>
      </c>
      <c r="E5" s="10" t="inlineStr">
        <is>
          <t>Evidence</t>
        </is>
      </c>
      <c r="F5" s="10" t="inlineStr">
        <is>
          <t>Quick test</t>
        </is>
      </c>
      <c r="G5" s="10" t="inlineStr">
        <is>
          <t>Suggested owner</t>
        </is>
      </c>
      <c r="H5" s="10" t="inlineStr">
        <is>
          <t>ISO/IEC 42001</t>
        </is>
      </c>
      <c r="I5" s="10" t="inlineStr">
        <is>
          <t>NIST AI RMF</t>
        </is>
      </c>
      <c r="J5" s="10" t="inlineStr">
        <is>
          <t>EU AI Act</t>
        </is>
      </c>
      <c r="K5" s="10" t="inlineStr">
        <is>
          <t>Also maps to</t>
        </is>
      </c>
      <c r="L5" s="10" t="inlineStr">
        <is>
          <t>Status</t>
        </is>
      </c>
      <c r="M5" s="10" t="inlineStr">
        <is>
          <t>Assigned to</t>
        </is>
      </c>
      <c r="N5" s="10" t="inlineStr">
        <is>
          <t>Target date</t>
        </is>
      </c>
      <c r="O5" s="10" t="inlineStr">
        <is>
          <t>Evidence link</t>
        </is>
      </c>
      <c r="P5" s="10" t="inlineStr">
        <is>
          <t>Notes</t>
        </is>
      </c>
    </row>
    <row r="6">
      <c r="A6" s="11" t="inlineStr">
        <is>
          <t>01</t>
        </is>
      </c>
      <c r="B6" s="11" t="inlineStr">
        <is>
          <t>Foundations</t>
        </is>
      </c>
      <c r="C6" s="12" t="inlineStr">
        <is>
          <t>AI inventory completed</t>
        </is>
      </c>
      <c r="D6" s="11" t="inlineStr">
        <is>
          <t>Identify and record every AI system, model, tool, agent and use case in the organisation, including embedded vendor AI and shadow use.</t>
        </is>
      </c>
      <c r="E6" s="11" t="inlineStr">
        <is>
          <t>AI register with owner, purpose, data used, vendor, risk tier and lifecycle status for each entry; date of last review.</t>
        </is>
      </c>
      <c r="F6" s="11" t="inlineStr">
        <is>
          <t>Pick three business units at random. Does every AI tool they use appear in the register?</t>
        </is>
      </c>
      <c r="G6" s="11" t="inlineStr">
        <is>
          <t>Chief AI Officer / AI governance lead</t>
        </is>
      </c>
      <c r="H6" s="11" t="inlineStr">
        <is>
          <t>Cl. 4.3, 7.5; Annex A.4</t>
        </is>
      </c>
      <c r="I6" s="11" t="inlineStr">
        <is>
          <t>GOVERN 1.6; MAP 1.1</t>
        </is>
      </c>
      <c r="J6" s="11" t="inlineStr">
        <is>
          <t>Art. 6, 49 (high-risk classification and registration)</t>
        </is>
      </c>
      <c r="K6" s="11" t="inlineStr">
        <is>
          <t>IEEE 2863-2026 (governing-body oversight of AI); Australia AI6 practice 4 (AI system register)</t>
        </is>
      </c>
      <c r="L6" s="13" t="inlineStr">
        <is>
          <t>Not started</t>
        </is>
      </c>
      <c r="M6" s="13" t="inlineStr"/>
      <c r="N6" s="14" t="n"/>
      <c r="O6" s="13" t="inlineStr"/>
      <c r="P6" s="13" t="inlineStr"/>
    </row>
    <row r="7">
      <c r="A7" s="11" t="inlineStr">
        <is>
          <t>02</t>
        </is>
      </c>
      <c r="B7" s="11" t="inlineStr">
        <is>
          <t>Foundations</t>
        </is>
      </c>
      <c r="C7" s="12" t="inlineStr">
        <is>
          <t>Risk classification framework defined</t>
        </is>
      </c>
      <c r="D7" s="11" t="inlineStr">
        <is>
          <t>Apply one consistent method to rate AI risk by impact and likelihood, and tie each tier to the controls and approvals it requires.</t>
        </is>
      </c>
      <c r="E7" s="11" t="inlineStr">
        <is>
          <t>Approved risk methodology; risk tier recorded against every register entry; documented tier-to-control matrix.</t>
        </is>
      </c>
      <c r="F7" s="11" t="inlineStr">
        <is>
          <t>Can two assessors rate the same use case independently and land on the same tier?</t>
        </is>
      </c>
      <c r="G7" s="11" t="inlineStr">
        <is>
          <t>Chief Risk Officer</t>
        </is>
      </c>
      <c r="H7" s="11" t="inlineStr">
        <is>
          <t>Cl. 6.1, 8.2; Annex A.5</t>
        </is>
      </c>
      <c r="I7" s="11" t="inlineStr">
        <is>
          <t>MAP 1–5; GOVERN 1.3</t>
        </is>
      </c>
      <c r="J7" s="11" t="inlineStr">
        <is>
          <t>Art. 6, 9 (classification, risk management)</t>
        </is>
      </c>
      <c r="K7" s="11" t="inlineStr">
        <is>
          <t>EN 18286:2026 (Art. 17(1)(g) risk management within the QMS); Australia AI6 practices 2–3 (impacts, risk)</t>
        </is>
      </c>
      <c r="L7" s="13" t="inlineStr">
        <is>
          <t>Not started</t>
        </is>
      </c>
      <c r="M7" s="13" t="inlineStr"/>
      <c r="N7" s="14" t="n"/>
      <c r="O7" s="13" t="inlineStr"/>
      <c r="P7" s="13" t="inlineStr"/>
    </row>
    <row r="8">
      <c r="A8" s="11" t="inlineStr">
        <is>
          <t>03</t>
        </is>
      </c>
      <c r="B8" s="11" t="inlineStr">
        <is>
          <t>Accountability</t>
        </is>
      </c>
      <c r="C8" s="12" t="inlineStr">
        <is>
          <t>Governance committee established</t>
        </is>
      </c>
      <c r="D8" s="11" t="inlineStr">
        <is>
          <t>Stand up a cross-functional AI governance body with clear terms of reference, decision rights and a named accountable owner for every AI system.</t>
        </is>
      </c>
      <c r="E8" s="11" t="inlineStr">
        <is>
          <t>Terms of reference; membership spanning risk, legal, privacy, security, data and business; minutes showing decisions made.</t>
        </is>
      </c>
      <c r="F8" s="11" t="inlineStr">
        <is>
          <t>For any production AI system, can you name the one person accountable for it in under a minute?</t>
        </is>
      </c>
      <c r="G8" s="11" t="inlineStr">
        <is>
          <t>Executive sponsor / Board</t>
        </is>
      </c>
      <c r="H8" s="11" t="inlineStr">
        <is>
          <t>Cl. 5.1, 5.3; Annex A.3</t>
        </is>
      </c>
      <c r="I8" s="11" t="inlineStr">
        <is>
          <t>GOVERN 2.1–2.3</t>
        </is>
      </c>
      <c r="J8" s="11" t="inlineStr">
        <is>
          <t>Art. 17, 26 (quality management, deployer obligations)</t>
        </is>
      </c>
      <c r="K8" s="11" t="inlineStr">
        <is>
          <t>IEEE 2863-2026 (governance principles and processes for the governing body); Australia AI6 practice 1 (accountability)</t>
        </is>
      </c>
      <c r="L8" s="13" t="inlineStr">
        <is>
          <t>Not started</t>
        </is>
      </c>
      <c r="M8" s="13" t="inlineStr"/>
      <c r="N8" s="14" t="n"/>
      <c r="O8" s="13" t="inlineStr"/>
      <c r="P8" s="13" t="inlineStr"/>
    </row>
    <row r="9">
      <c r="A9" s="11" t="inlineStr">
        <is>
          <t>04</t>
        </is>
      </c>
      <c r="B9" s="11" t="inlineStr">
        <is>
          <t>Accountability</t>
        </is>
      </c>
      <c r="C9" s="12" t="inlineStr">
        <is>
          <t>AI policies documented</t>
        </is>
      </c>
      <c r="D9" s="11" t="inlineStr">
        <is>
          <t>Approve and publish policies covering ethics, acceptable use, data, model governance and accountability, and train people on them.</t>
        </is>
      </c>
      <c r="E9" s="11" t="inlineStr">
        <is>
          <t>Board- or executive-approved AI policy; review date; staff attestation or training completion records.</t>
        </is>
      </c>
      <c r="F9" s="11" t="inlineStr">
        <is>
          <t>Ask five staff where the AI policy lives and what it forbids. How many can answer?</t>
        </is>
      </c>
      <c r="G9" s="11" t="inlineStr">
        <is>
          <t>Chief AI Officer / General Counsel</t>
        </is>
      </c>
      <c r="H9" s="11" t="inlineStr">
        <is>
          <t>Cl. 5.2; Annex A.2</t>
        </is>
      </c>
      <c r="I9" s="11" t="inlineStr">
        <is>
          <t>GOVERN 1.2, 1.4</t>
        </is>
      </c>
      <c r="J9" s="11" t="inlineStr">
        <is>
          <t>Art. 4 (AI literacy), Art. 17</t>
        </is>
      </c>
      <c r="K9" s="11" t="inlineStr">
        <is>
          <t>EN 18286:2026 (harmonised QMS standard for Art. 17; presumption of conformity from 14 Oct 2026); IEEE 2863-2026</t>
        </is>
      </c>
      <c r="L9" s="13" t="inlineStr">
        <is>
          <t>Not started</t>
        </is>
      </c>
      <c r="M9" s="13" t="inlineStr"/>
      <c r="N9" s="14" t="n"/>
      <c r="O9" s="13" t="inlineStr"/>
      <c r="P9" s="13" t="inlineStr"/>
    </row>
    <row r="10">
      <c r="A10" s="11" t="inlineStr">
        <is>
          <t>05</t>
        </is>
      </c>
      <c r="B10" s="11" t="inlineStr">
        <is>
          <t>Transparency</t>
        </is>
      </c>
      <c r="C10" s="12" t="inlineStr">
        <is>
          <t>Model documentation standardised</t>
        </is>
      </c>
      <c r="D10" s="11" t="inlineStr">
        <is>
          <t>Use standard templates such as model cards and datasheets so every system can be understood, audited and handed over.</t>
        </is>
      </c>
      <c r="E10" s="11" t="inlineStr">
        <is>
          <t>Completed model card and data sheet per system, version-controlled, covering intended use, limits, training data provenance and evaluation results.</t>
        </is>
      </c>
      <c r="F10" s="11" t="inlineStr">
        <is>
          <t>Could an auditor who has never seen the system reconstruct what it does and why from the documentation alone?</t>
        </is>
      </c>
      <c r="G10" s="11" t="inlineStr">
        <is>
          <t>Model owner / ML engineering lead</t>
        </is>
      </c>
      <c r="H10" s="11" t="inlineStr">
        <is>
          <t>Cl. 7.5; Annex A.6, A.7</t>
        </is>
      </c>
      <c r="I10" s="11" t="inlineStr">
        <is>
          <t>MAP 2.1–2.3; MEASURE 2.1</t>
        </is>
      </c>
      <c r="J10" s="11" t="inlineStr">
        <is>
          <t>Art. 11, 12 (technical documentation, record-keeping)</t>
        </is>
      </c>
      <c r="K10" s="11" t="inlineStr">
        <is>
          <t>EN 18286:2026 (Art. 17(1)(b)–(e) design, development, testing and technical specifications)</t>
        </is>
      </c>
      <c r="L10" s="13" t="inlineStr">
        <is>
          <t>Not started</t>
        </is>
      </c>
      <c r="M10" s="13" t="inlineStr"/>
      <c r="N10" s="14" t="n"/>
      <c r="O10" s="13" t="inlineStr"/>
      <c r="P10" s="13" t="inlineStr"/>
    </row>
    <row r="11">
      <c r="A11" s="11" t="inlineStr">
        <is>
          <t>06</t>
        </is>
      </c>
      <c r="B11" s="11" t="inlineStr">
        <is>
          <t>Trustworthiness</t>
        </is>
      </c>
      <c r="C11" s="12" t="inlineStr">
        <is>
          <t>Bias and fairness testing implemented</t>
        </is>
      </c>
      <c r="D11" s="11" t="inlineStr">
        <is>
          <t>Test models for bias across relevant groups, disaggregated rather than in aggregate, and act on what you find.</t>
        </is>
      </c>
      <c r="E11" s="11" t="inlineStr">
        <is>
          <t>Fairness test plan with defined groups and thresholds; disaggregated results; remediation log for findings.</t>
        </is>
      </c>
      <c r="F11" s="11" t="inlineStr">
        <is>
          <t>Are results reported per group, and is there a written threshold that would block release?</t>
        </is>
      </c>
      <c r="G11" s="11" t="inlineStr">
        <is>
          <t>Model owner / Data science lead</t>
        </is>
      </c>
      <c r="H11" s="11" t="inlineStr">
        <is>
          <t>Annex A.5, A.7</t>
        </is>
      </c>
      <c r="I11" s="11" t="inlineStr">
        <is>
          <t>MEASURE 2.11</t>
        </is>
      </c>
      <c r="J11" s="11" t="inlineStr">
        <is>
          <t>Art. 10 (data and data governance)</t>
        </is>
      </c>
      <c r="K11" s="11" t="inlineStr">
        <is>
          <t>Australia AI6 practice 2 (impacts, incl. fairness); IEEE 2863-2026 (ethical principles)</t>
        </is>
      </c>
      <c r="L11" s="13" t="inlineStr">
        <is>
          <t>Not started</t>
        </is>
      </c>
      <c r="M11" s="13" t="inlineStr"/>
      <c r="N11" s="14" t="n"/>
      <c r="O11" s="13" t="inlineStr"/>
      <c r="P11" s="13" t="inlineStr"/>
    </row>
    <row r="12">
      <c r="A12" s="11" t="inlineStr">
        <is>
          <t>07</t>
        </is>
      </c>
      <c r="B12" s="11" t="inlineStr">
        <is>
          <t>Trustworthiness</t>
        </is>
      </c>
      <c r="C12" s="12" t="inlineStr">
        <is>
          <t>Explainability requirements defined</t>
        </is>
      </c>
      <c r="D12" s="11" t="inlineStr">
        <is>
          <t>Set the level of explanation each system must provide based on the risk and impact of its decisions, including to affected people.</t>
        </is>
      </c>
      <c r="E12" s="11" t="inlineStr">
        <is>
          <t>Explainability standard by risk tier; sample explanations; human review and challenge route for affected individuals.</t>
        </is>
      </c>
      <c r="F12" s="11" t="inlineStr">
        <is>
          <t>If a person asks why the system decided against them, what exactly do you send them, and who sends it?</t>
        </is>
      </c>
      <c r="G12" s="11" t="inlineStr">
        <is>
          <t>Business owner / Model owner</t>
        </is>
      </c>
      <c r="H12" s="11" t="inlineStr">
        <is>
          <t>Annex A.8</t>
        </is>
      </c>
      <c r="I12" s="11" t="inlineStr">
        <is>
          <t>MEASURE 2.9</t>
        </is>
      </c>
      <c r="J12" s="11" t="inlineStr">
        <is>
          <t>Art. 13, 14, 86 (transparency, human oversight, right to explanation)</t>
        </is>
      </c>
      <c r="K12" s="11" t="inlineStr">
        <is>
          <t>Australia AI6 practices 4 and 6 (information for affected people; human control)</t>
        </is>
      </c>
      <c r="L12" s="13" t="inlineStr">
        <is>
          <t>Not started</t>
        </is>
      </c>
      <c r="M12" s="13" t="inlineStr"/>
      <c r="N12" s="14" t="n"/>
      <c r="O12" s="13" t="inlineStr"/>
      <c r="P12" s="13" t="inlineStr"/>
    </row>
    <row r="13">
      <c r="A13" s="11" t="inlineStr">
        <is>
          <t>08</t>
        </is>
      </c>
      <c r="B13" s="11" t="inlineStr">
        <is>
          <t>Protection</t>
        </is>
      </c>
      <c r="C13" s="12" t="inlineStr">
        <is>
          <t>Security and privacy controls applied</t>
        </is>
      </c>
      <c r="D13" s="11" t="inlineStr">
        <is>
          <t>Protect data, models and outputs with security and privacy safeguards, including AI-specific threats such as prompt injection and data leakage.</t>
        </is>
      </c>
      <c r="E13" s="11" t="inlineStr">
        <is>
          <t>Privacy impact assessment; AI threat model; red-team or penetration test results; access controls on training data and prompts.</t>
        </is>
      </c>
      <c r="F13" s="11" t="inlineStr">
        <is>
          <t>Has the system been attacked on purpose (prompt injection, data exfiltration) before go-live, and were the findings fixed?</t>
        </is>
      </c>
      <c r="G13" s="11" t="inlineStr">
        <is>
          <t>CISO / Privacy Officer</t>
        </is>
      </c>
      <c r="H13" s="11" t="inlineStr">
        <is>
          <t>Annex A.7; aligns with ISO/IEC 27001, 27701</t>
        </is>
      </c>
      <c r="I13" s="11" t="inlineStr">
        <is>
          <t>MEASURE 2.7, 2.10</t>
        </is>
      </c>
      <c r="J13" s="11" t="inlineStr">
        <is>
          <t>Art. 15 (accuracy, robustness, cybersecurity)</t>
        </is>
      </c>
      <c r="K13" s="11" t="inlineStr">
        <is>
          <t>ISO/IEC 27090:2026 (AI security threats: poisoning, evasion, model inversion and extraction, prompt and output injection)</t>
        </is>
      </c>
      <c r="L13" s="13" t="inlineStr">
        <is>
          <t>Not started</t>
        </is>
      </c>
      <c r="M13" s="13" t="inlineStr"/>
      <c r="N13" s="14" t="n"/>
      <c r="O13" s="13" t="inlineStr"/>
      <c r="P13" s="13" t="inlineStr"/>
    </row>
    <row r="14">
      <c r="A14" s="11" t="inlineStr">
        <is>
          <t>09</t>
        </is>
      </c>
      <c r="B14" s="11" t="inlineStr">
        <is>
          <t>Operations</t>
        </is>
      </c>
      <c r="C14" s="12" t="inlineStr">
        <is>
          <t>Continuous monitoring enabled</t>
        </is>
      </c>
      <c r="D14" s="11" t="inlineStr">
        <is>
          <t>Monitor performance, data drift, fairness and system behaviour in production, with alerts that reach a named person.</t>
        </is>
      </c>
      <c r="E14" s="11" t="inlineStr">
        <is>
          <t>Monitoring dashboard; defined metrics and thresholds; alert routing; drift and performance reports over time.</t>
        </is>
      </c>
      <c r="F14" s="11" t="inlineStr">
        <is>
          <t>If accuracy dropped 10% after a vendor model update, who would get the alert, and how fast?</t>
        </is>
      </c>
      <c r="G14" s="11" t="inlineStr">
        <is>
          <t>ML operations / Platform owner</t>
        </is>
      </c>
      <c r="H14" s="11" t="inlineStr">
        <is>
          <t>Cl. 9.1; Annex A.6</t>
        </is>
      </c>
      <c r="I14" s="11" t="inlineStr">
        <is>
          <t>MANAGE 4.1; MEASURE 3.1</t>
        </is>
      </c>
      <c r="J14" s="11" t="inlineStr">
        <is>
          <t>Art. 72 (post-market monitoring)</t>
        </is>
      </c>
      <c r="K14" s="11" t="inlineStr">
        <is>
          <t>EN 18286:2026 (Art. 17(1)(h) post-market monitoring); Australia AI6 practice 5 (monitoring); ISO/IEC 27090:2026 (attack detection)</t>
        </is>
      </c>
      <c r="L14" s="13" t="inlineStr">
        <is>
          <t>Not started</t>
        </is>
      </c>
      <c r="M14" s="13" t="inlineStr"/>
      <c r="N14" s="14" t="n"/>
      <c r="O14" s="13" t="inlineStr"/>
      <c r="P14" s="13" t="inlineStr"/>
    </row>
    <row r="15">
      <c r="A15" s="11" t="inlineStr">
        <is>
          <t>10</t>
        </is>
      </c>
      <c r="B15" s="11" t="inlineStr">
        <is>
          <t>Operations</t>
        </is>
      </c>
      <c r="C15" s="12" t="inlineStr">
        <is>
          <t>Incident response process established</t>
        </is>
      </c>
      <c r="D15" s="11" t="inlineStr">
        <is>
          <t>Define how AI incidents are detected, escalated, contained, remediated and reported, and rehearse it.</t>
        </is>
      </c>
      <c r="E15" s="11" t="inlineStr">
        <is>
          <t>AI incident playbook; severity definitions; incident log; at least one tabletop exercise with lessons learned.</t>
        </is>
      </c>
      <c r="F15" s="11" t="inlineStr">
        <is>
          <t>Can you switch the system off or roll it back today, and has anyone practised doing it?</t>
        </is>
      </c>
      <c r="G15" s="11" t="inlineStr">
        <is>
          <t>CISO / Head of operations</t>
        </is>
      </c>
      <c r="H15" s="11" t="inlineStr">
        <is>
          <t>Cl. 10.2; Annex A.8</t>
        </is>
      </c>
      <c r="I15" s="11" t="inlineStr">
        <is>
          <t>MANAGE 4.3; GOVERN 4.3</t>
        </is>
      </c>
      <c r="J15" s="11" t="inlineStr">
        <is>
          <t>Art. 73 (reporting of serious incidents)</t>
        </is>
      </c>
      <c r="K15" s="11" t="inlineStr">
        <is>
          <t>EN 18286:2026 (Art. 17(1)(i) serious-incident procedures); Australia AI6 practice 5 (incident thresholds)</t>
        </is>
      </c>
      <c r="L15" s="13" t="inlineStr">
        <is>
          <t>Not started</t>
        </is>
      </c>
      <c r="M15" s="13" t="inlineStr"/>
      <c r="N15" s="14" t="n"/>
      <c r="O15" s="13" t="inlineStr"/>
      <c r="P15" s="13" t="inlineStr"/>
    </row>
    <row r="16">
      <c r="A16" s="11" t="inlineStr">
        <is>
          <t>11</t>
        </is>
      </c>
      <c r="B16" s="11" t="inlineStr">
        <is>
          <t>Assurance</t>
        </is>
      </c>
      <c r="C16" s="12" t="inlineStr">
        <is>
          <t>Regulatory compliance reviews scheduled</t>
        </is>
      </c>
      <c r="D16" s="11" t="inlineStr">
        <is>
          <t>Track changing laws and standards and run periodic compliance assessments and independent audits.</t>
        </is>
      </c>
      <c r="E16" s="11" t="inlineStr">
        <is>
          <t>Regulatory horizon register; compliance assessment schedule; internal audit reports and management responses.</t>
        </is>
      </c>
      <c r="F16" s="11" t="inlineStr">
        <is>
          <t>When did a law affecting your AI last change, and how long did it take you to notice?</t>
        </is>
      </c>
      <c r="G16" s="11" t="inlineStr">
        <is>
          <t>Compliance / Internal audit</t>
        </is>
      </c>
      <c r="H16" s="11" t="inlineStr">
        <is>
          <t>Cl. 9.2, 9.3</t>
        </is>
      </c>
      <c r="I16" s="11" t="inlineStr">
        <is>
          <t>GOVERN 1.1</t>
        </is>
      </c>
      <c r="J16" s="11" t="inlineStr">
        <is>
          <t>Art. 43 (conformity assessment), Art. 113 (application dates)</t>
        </is>
      </c>
      <c r="K16" s="11" t="inlineStr">
        <is>
          <t>EN 18286:2026 (cited in the OJ on 14 Oct 2026; Art. 17(2)–(4) not covered); Australian Standards for AI (announced Jul 2026; bills expected 2027)</t>
        </is>
      </c>
      <c r="L16" s="13" t="inlineStr">
        <is>
          <t>Not started</t>
        </is>
      </c>
      <c r="M16" s="13" t="inlineStr"/>
      <c r="N16" s="14" t="n"/>
      <c r="O16" s="13" t="inlineStr"/>
      <c r="P16" s="13" t="inlineStr"/>
    </row>
    <row r="17">
      <c r="A17" s="11" t="inlineStr">
        <is>
          <t>12</t>
        </is>
      </c>
      <c r="B17" s="11" t="inlineStr">
        <is>
          <t>Foundations</t>
        </is>
      </c>
      <c r="C17" s="12" t="inlineStr">
        <is>
          <t>Generative AI usage rules created</t>
        </is>
      </c>
      <c r="D17" s="11" t="inlineStr">
        <is>
          <t>Set clear rules for safe, responsible and compliant use of generative AI tools and models, including approved tools and data limits.</t>
        </is>
      </c>
      <c r="E17" s="11" t="inlineStr">
        <is>
          <t>Generative AI standard; approved-tools list; data classification rules for prompts; output review and labelling requirements.</t>
        </is>
      </c>
      <c r="F17" s="11" t="inlineStr">
        <is>
          <t>Do staff know which tools are approved, and what data they must never paste into them?</t>
        </is>
      </c>
      <c r="G17" s="11" t="inlineStr">
        <is>
          <t>Chief AI Officer / CISO</t>
        </is>
      </c>
      <c r="H17" s="11" t="inlineStr">
        <is>
          <t>Annex A.9, A.10</t>
        </is>
      </c>
      <c r="I17" s="11" t="inlineStr">
        <is>
          <t>NIST AI 600-1 (Generative AI Profile)</t>
        </is>
      </c>
      <c r="J17" s="11" t="inlineStr">
        <is>
          <t>Art. 50 (transparency for certain AI systems), Art. 53 (GPAI providers)</t>
        </is>
      </c>
      <c r="K17" s="11" t="inlineStr">
        <is>
          <t>ISO/IEC 27090:2026 (prompt injection; sensitive information in outputs)</t>
        </is>
      </c>
      <c r="L17" s="13" t="inlineStr">
        <is>
          <t>Not started</t>
        </is>
      </c>
      <c r="M17" s="13" t="inlineStr"/>
      <c r="N17" s="14" t="n"/>
      <c r="O17" s="13" t="inlineStr"/>
      <c r="P17" s="13" t="inlineStr"/>
    </row>
    <row r="19">
      <c r="A19" s="15" t="inlineStr">
        <is>
          <t>Example of a filled row: Status = Evidenced · Assigned to = J. Smith (CRO) · Target date = 2026-12-15 · Evidence link = https://intranet/ai-register · Notes = Register reviewed by audit committee Nov 2026.</t>
        </is>
      </c>
    </row>
    <row r="20">
      <c r="A20" s="15" t="inlineStr">
        <is>
          <t>Framework mapping: Framework references are indicative mappings to help you find the relevant requirement. "Also maps to" covers ISO/IEC 27090:2026 (AI security), EN 18286:2026 (the EU AI Act harmonised quality-management standard), IEEE 2863-2026 (organisational AI governance) and Australia's Guidance for AI Adoption (AI6). Verify against the current official text of each standard or law before relying on them for compliance.</t>
        </is>
      </c>
    </row>
  </sheetData>
  <autoFilter ref="A5:P17"/>
  <conditionalFormatting sqref="L6:L17">
    <cfRule type="expression" priority="1" dxfId="0">
      <formula>$L6="Not started"</formula>
    </cfRule>
    <cfRule type="expression" priority="2" dxfId="1">
      <formula>$L6="In progress"</formula>
    </cfRule>
    <cfRule type="expression" priority="3" dxfId="2">
      <formula>$L6="Implemented"</formula>
    </cfRule>
    <cfRule type="expression" priority="4" dxfId="3">
      <formula>$L6="Evidenced"</formula>
    </cfRule>
    <cfRule type="expression" priority="5" dxfId="4">
      <formula>$L6="Not applicable"</formula>
    </cfRule>
  </conditionalFormatting>
  <dataValidations count="1">
    <dataValidation sqref="L6:L17" showDropDown="0" showInputMessage="0" showErrorMessage="0" allowBlank="1" error="Choose a status from the list." type="list">
      <formula1>=Lists!$A$2:$A$6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6" t="inlineStr">
        <is>
          <t>Status</t>
        </is>
      </c>
    </row>
    <row r="2">
      <c r="A2" s="5" t="inlineStr">
        <is>
          <t>Not started</t>
        </is>
      </c>
    </row>
    <row r="3">
      <c r="A3" s="5" t="inlineStr">
        <is>
          <t>In progress</t>
        </is>
      </c>
    </row>
    <row r="4">
      <c r="A4" s="5" t="inlineStr">
        <is>
          <t>Implemented</t>
        </is>
      </c>
    </row>
    <row r="5">
      <c r="A5" s="5" t="inlineStr">
        <is>
          <t>Evidenced</t>
        </is>
      </c>
    </row>
    <row r="6">
      <c r="A6" s="5" t="inlineStr">
        <is>
          <t>Not applicable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0" customWidth="1" min="1" max="1"/>
    <col width="90" customWidth="1" min="2" max="2"/>
  </cols>
  <sheetData>
    <row r="1">
      <c r="A1" s="16" t="inlineStr">
        <is>
          <t>About</t>
        </is>
      </c>
    </row>
    <row r="2">
      <c r="A2" s="17" t="inlineStr">
        <is>
          <t>Publisher</t>
        </is>
      </c>
      <c r="B2" s="18" t="inlineStr">
        <is>
          <t>NexGuide.AI</t>
        </is>
      </c>
    </row>
    <row r="3">
      <c r="A3" s="17" t="inlineStr">
        <is>
          <t>Version</t>
        </is>
      </c>
      <c r="B3" s="18" t="inlineStr">
        <is>
          <t>1.1.0</t>
        </is>
      </c>
    </row>
    <row r="4">
      <c r="A4" s="17" t="inlineStr">
        <is>
          <t>Updated</t>
        </is>
      </c>
      <c r="B4" s="18" t="inlineStr">
        <is>
          <t>2026-10-26</t>
        </is>
      </c>
    </row>
    <row r="5">
      <c r="A5" s="17" t="inlineStr">
        <is>
          <t>Web version</t>
        </is>
      </c>
      <c r="B5" s="18" t="inlineStr">
        <is>
          <t>https://caiotk.github.io/NxgdAI-Governance-Checklist/</t>
        </is>
      </c>
    </row>
    <row r="6">
      <c r="A6" s="17" t="inlineStr">
        <is>
          <t>Source repository</t>
        </is>
      </c>
      <c r="B6" s="18" t="inlineStr">
        <is>
          <t>https://github.com/caiotk/NxgdAI-Governance-Checklist</t>
        </is>
      </c>
    </row>
    <row r="7">
      <c r="A7" s="17" t="inlineStr">
        <is>
          <t>How to use</t>
        </is>
      </c>
      <c r="B7" s="18" t="inlineStr">
        <is>
          <t>Set a Status for each control on the Checklist sheet. The Dashboard updates itself. A control counts as audit-ready only when it is Evidenced.</t>
        </is>
      </c>
    </row>
    <row r="8">
      <c r="A8" s="17" t="inlineStr">
        <is>
          <t>Framework mapping</t>
        </is>
      </c>
      <c r="B8" s="18" t="inlineStr">
        <is>
          <t>Framework references are indicative mappings to help you find the relevant requirement. "Also maps to" covers ISO/IEC 27090:2026 (AI security), EN 18286:2026 (the EU AI Act harmonised quality-management standard), IEEE 2863-2026 (organisational AI governance) and Australia's Guidance for AI Adoption (AI6). Verify against the current official text of each standard or law before relying on them for compliance.</t>
        </is>
      </c>
    </row>
    <row r="9">
      <c r="A9" s="17" t="inlineStr">
        <is>
          <t>Licence</t>
        </is>
      </c>
      <c r="B9" s="18" t="inlineStr">
        <is>
          <t>CC BY 4.0 — share and adapt with attribution to NexGuide.AI.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NexGuide.AI</dc:creator>
  <dc:title xmlns:dc="http://purl.org/dc/elements/1.1/">AI Governance Checklist</dc:title>
  <dcterms:created xmlns:dcterms="http://purl.org/dc/terms/" xmlns:xsi="http://www.w3.org/2001/XMLSchema-instance" xsi:type="dcterms:W3CDTF">2026-10-26T01:44:53Z</dcterms:created>
  <dcterms:modified xmlns:dcterms="http://purl.org/dc/terms/" xmlns:xsi="http://www.w3.org/2001/XMLSchema-instance" xsi:type="dcterms:W3CDTF">2026-10-26T01:44:53Z</dcterms:modified>
</cp:coreProperties>
</file>