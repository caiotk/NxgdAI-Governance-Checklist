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Checklist" sheetId="2" state="visible" r:id="rId4"/>
    <sheet name="Lists" sheetId="3" state="visible" r:id="rId5"/>
    <sheet name="About" sheetId="4" state="visible" r:id="rId6"/>
  </sheets>
  <definedNames>
    <definedName function="false" hidden="false" localSheetId="1" name="_xlnm.Print_Titles" vbProcedure="false">Checklist!$5:$5</definedName>
    <definedName function="false" hidden="true" localSheetId="1" name="_xlnm._FilterDatabase" vbProcedure="false">Checklist!$A$5:$P$17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<sst xmlns="http://schemas.openxmlformats.org/spreadsheetml/2006/main" count="208" uniqueCount="179">
  <si>
    <t xml:space="preserve">AI Governance — progress</t>
  </si>
  <si>
    <t xml:space="preserve">Calculated live from the Status column on the Checklist sheet.</t>
  </si>
  <si>
    <t xml:space="preserve">Status</t>
  </si>
  <si>
    <t xml:space="preserve">Controls</t>
  </si>
  <si>
    <t xml:space="preserve">Total controls</t>
  </si>
  <si>
    <t xml:space="preserve">In scope (excludes Not applicable)</t>
  </si>
  <si>
    <t xml:space="preserve">Implemented or evidenced</t>
  </si>
  <si>
    <t xml:space="preserve">Coverage (implemented or evidenced)</t>
  </si>
  <si>
    <t xml:space="preserve">Audit-ready (evidenced only)</t>
  </si>
  <si>
    <t xml:space="preserve">By area</t>
  </si>
  <si>
    <t xml:space="preserve">Area</t>
  </si>
  <si>
    <t xml:space="preserve">Evidenced</t>
  </si>
  <si>
    <t xml:space="preserve">Foundations</t>
  </si>
  <si>
    <t xml:space="preserve">Accountability</t>
  </si>
  <si>
    <t xml:space="preserve">Transparency</t>
  </si>
  <si>
    <t xml:space="preserve">Trustworthiness</t>
  </si>
  <si>
    <t xml:space="preserve">Protection</t>
  </si>
  <si>
    <t xml:space="preserve">Operations</t>
  </si>
  <si>
    <t xml:space="preserve">Assurance</t>
  </si>
  <si>
    <t xml:space="preserve">AI Governance Checklist</t>
  </si>
  <si>
    <t xml:space="preserve">Twelve controls to build, run and evidence responsible AI at enterprise scale.</t>
  </si>
  <si>
    <t xml:space="preserve">Edit only the yellow columns (Status, Assigned to, Target date, Evidence link, Notes). Status values come from the dropdown. Version 1.1.0 · 2026-10-26.</t>
  </si>
  <si>
    <t xml:space="preserve">#</t>
  </si>
  <si>
    <t xml:space="preserve">Control</t>
  </si>
  <si>
    <t xml:space="preserve">Description</t>
  </si>
  <si>
    <t xml:space="preserve">Evidence</t>
  </si>
  <si>
    <t xml:space="preserve">Quick test</t>
  </si>
  <si>
    <t xml:space="preserve">Suggested owner</t>
  </si>
  <si>
    <t xml:space="preserve">ISO/IEC 42001</t>
  </si>
  <si>
    <t xml:space="preserve">NIST AI RMF</t>
  </si>
  <si>
    <t xml:space="preserve">EU AI Act</t>
  </si>
  <si>
    <t xml:space="preserve">Also maps to</t>
  </si>
  <si>
    <t xml:space="preserve">Assigned to</t>
  </si>
  <si>
    <t xml:space="preserve">Target date</t>
  </si>
  <si>
    <t xml:space="preserve">Evidence link</t>
  </si>
  <si>
    <t xml:space="preserve">Notes</t>
  </si>
  <si>
    <t xml:space="preserve">01</t>
  </si>
  <si>
    <t xml:space="preserve">AI inventory completed</t>
  </si>
  <si>
    <t xml:space="preserve">Identify and record every AI system, model, tool, agent and use case in the organisation, including embedded vendor AI and shadow use.</t>
  </si>
  <si>
    <t xml:space="preserve">AI register with owner, purpose, data used, vendor, risk tier and lifecycle status for each entry; date of last review.</t>
  </si>
  <si>
    <t xml:space="preserve">Pick three business units at random. Does every AI tool they use appear in the register?</t>
  </si>
  <si>
    <t xml:space="preserve">Chief AI Officer / AI governance lead</t>
  </si>
  <si>
    <t xml:space="preserve">Cl. 4.3, 7.5; Annex A.4</t>
  </si>
  <si>
    <t xml:space="preserve">GOVERN 1.6; MAP 1.1</t>
  </si>
  <si>
    <t xml:space="preserve">Art. 6, 49 (high-risk classification and registration)</t>
  </si>
  <si>
    <t xml:space="preserve">Australia AI6 practice 4 (AI system register)</t>
  </si>
  <si>
    <t xml:space="preserve">Not started</t>
  </si>
  <si>
    <t xml:space="preserve">02</t>
  </si>
  <si>
    <t xml:space="preserve">Risk classification framework defined</t>
  </si>
  <si>
    <t xml:space="preserve">Apply one consistent method to rate AI risk by impact and likelihood, and tie each tier to the controls and approvals it requires.</t>
  </si>
  <si>
    <t xml:space="preserve">Approved risk methodology; risk tier recorded against every register entry; documented tier-to-control matrix.</t>
  </si>
  <si>
    <t xml:space="preserve">Can two assessors rate the same use case independently and land on the same tier?</t>
  </si>
  <si>
    <t xml:space="preserve">Chief Risk Officer</t>
  </si>
  <si>
    <t xml:space="preserve">Cl. 6.1, 8.2; Annex A.5</t>
  </si>
  <si>
    <t xml:space="preserve">MAP 1–5; GOVERN 1.3</t>
  </si>
  <si>
    <t xml:space="preserve">Art. 6, 9 (classification, risk management)</t>
  </si>
  <si>
    <t xml:space="preserve">EN 18286:2026 (Art. 17(1)(g) risk management within the QMS); Australia AI6 practices 2–3 (impacts, risk)</t>
  </si>
  <si>
    <t xml:space="preserve">03</t>
  </si>
  <si>
    <t xml:space="preserve">Governance committee established</t>
  </si>
  <si>
    <t xml:space="preserve">Stand up a cross-functional AI governance body with clear terms of reference, decision rights and a named accountable owner for every AI system.</t>
  </si>
  <si>
    <t xml:space="preserve">Terms of reference; membership spanning risk, legal, privacy, security, data and business; minutes showing decisions made.</t>
  </si>
  <si>
    <t xml:space="preserve">For any production AI system, can you name the one person accountable for it in under a minute?</t>
  </si>
  <si>
    <t xml:space="preserve">Executive sponsor / Board</t>
  </si>
  <si>
    <t xml:space="preserve">Cl. 5.1, 5.3; Annex A.3</t>
  </si>
  <si>
    <t xml:space="preserve">GOVERN 2.1–2.3</t>
  </si>
  <si>
    <t xml:space="preserve">Art. 17, 26 (quality management, deployer obligations)</t>
  </si>
  <si>
    <t xml:space="preserve">IEEE 2863-2026 (governance principles and processes for the governing body); Australia AI6 practice 1 (accountability)</t>
  </si>
  <si>
    <t xml:space="preserve">04</t>
  </si>
  <si>
    <t xml:space="preserve">AI policies documented</t>
  </si>
  <si>
    <t xml:space="preserve">Approve and publish policies covering ethics, acceptable use, data, model governance and accountability, and train people on them.</t>
  </si>
  <si>
    <t xml:space="preserve">Board- or executive-approved AI policy; review date; staff attestation or training completion records.</t>
  </si>
  <si>
    <t xml:space="preserve">Ask five staff where the AI policy lives and what it forbids. How many can answer?</t>
  </si>
  <si>
    <t xml:space="preserve">Chief AI Officer / General Counsel</t>
  </si>
  <si>
    <t xml:space="preserve">Cl. 5.2; Annex A.2</t>
  </si>
  <si>
    <t xml:space="preserve">GOVERN 1.2, 1.4</t>
  </si>
  <si>
    <t xml:space="preserve">Art. 4 (AI literacy), Art. 17</t>
  </si>
  <si>
    <t xml:space="preserve">EN 18286:2026 (harmonised QMS standard for Art. 17; presumption of conformity from 14 Oct 2026); IEEE 2863-2026</t>
  </si>
  <si>
    <t xml:space="preserve">05</t>
  </si>
  <si>
    <t xml:space="preserve">Model documentation standardised</t>
  </si>
  <si>
    <t xml:space="preserve">Use standard templates such as model cards and datasheets so every system can be understood, audited and handed over.</t>
  </si>
  <si>
    <t xml:space="preserve">Completed model card and data sheet per system, version-controlled, covering intended use, limits, training data provenance and evaluation results.</t>
  </si>
  <si>
    <t xml:space="preserve">Could an auditor who has never seen the system reconstruct what it does and why from the documentation alone?</t>
  </si>
  <si>
    <t xml:space="preserve">Model owner / ML engineering lead</t>
  </si>
  <si>
    <t xml:space="preserve">Cl. 7.5; Annex A.6, A.7</t>
  </si>
  <si>
    <t xml:space="preserve">MAP 2.1–2.3; MEASURE 2.1</t>
  </si>
  <si>
    <t xml:space="preserve">Art. 11, 12 (technical documentation, record-keeping)</t>
  </si>
  <si>
    <t xml:space="preserve">EN 18286:2026 (Art. 17(1)(e) technical specifications and 17(1)(k) record-keeping)</t>
  </si>
  <si>
    <t xml:space="preserve">06</t>
  </si>
  <si>
    <t xml:space="preserve">Bias and fairness testing implemented</t>
  </si>
  <si>
    <t xml:space="preserve">Test models for bias across relevant groups, disaggregated rather than in aggregate, and act on what you find.</t>
  </si>
  <si>
    <t xml:space="preserve">Fairness test plan with defined groups and thresholds; disaggregated results; remediation log for findings.</t>
  </si>
  <si>
    <t xml:space="preserve">Are results reported per group, and is there a written threshold that would block release?</t>
  </si>
  <si>
    <t xml:space="preserve">Model owner / Data science lead</t>
  </si>
  <si>
    <t xml:space="preserve">Annex A.5, A.7</t>
  </si>
  <si>
    <t xml:space="preserve">MEASURE 2.11</t>
  </si>
  <si>
    <t xml:space="preserve">Art. 10 (data and data governance)</t>
  </si>
  <si>
    <t xml:space="preserve">Australia AI6 practice 2 (impacts, incl. fairness); IEEE 2863-2026 (ethical principles)</t>
  </si>
  <si>
    <t xml:space="preserve">07</t>
  </si>
  <si>
    <t xml:space="preserve">Explainability requirements defined</t>
  </si>
  <si>
    <t xml:space="preserve">Set the level of explanation each system must provide based on the risk and impact of its decisions, including to affected people.</t>
  </si>
  <si>
    <t xml:space="preserve">Explainability standard by risk tier; sample explanations; human review and challenge route for affected individuals.</t>
  </si>
  <si>
    <t xml:space="preserve">If a person asks why the system decided against them, what exactly do you send them, and who sends it?</t>
  </si>
  <si>
    <t xml:space="preserve">Business owner / Model owner</t>
  </si>
  <si>
    <t xml:space="preserve">Annex A.8</t>
  </si>
  <si>
    <t xml:space="preserve">MEASURE 2.9</t>
  </si>
  <si>
    <t xml:space="preserve">Art. 13, 14, 86 (transparency, human oversight, right to explanation)</t>
  </si>
  <si>
    <t xml:space="preserve">Australia AI6 practices 4 and 6 (information for affected people; human control)</t>
  </si>
  <si>
    <t xml:space="preserve">08</t>
  </si>
  <si>
    <t xml:space="preserve">Security and privacy controls applied</t>
  </si>
  <si>
    <t xml:space="preserve">Protect data, models and outputs with security and privacy safeguards, including AI-specific threats such as prompt injection and data leakage.</t>
  </si>
  <si>
    <t xml:space="preserve">Privacy impact assessment; AI threat model; red-team or penetration test results; access controls on training data and prompts.</t>
  </si>
  <si>
    <t xml:space="preserve">Has the system been attacked on purpose (prompt injection, data exfiltration) before go-live, and were the findings fixed?</t>
  </si>
  <si>
    <t xml:space="preserve">CISO / Privacy Officer</t>
  </si>
  <si>
    <t xml:space="preserve">Annex A.7; aligns with ISO/IEC 27001, 27701</t>
  </si>
  <si>
    <t xml:space="preserve">MEASURE 2.7, 2.10</t>
  </si>
  <si>
    <t xml:space="preserve">Art. 15 (accuracy, robustness, cybersecurity)</t>
  </si>
  <si>
    <t xml:space="preserve">ISO/IEC 27090:2026 (AI security threats: poisoning, evasion, model inversion and extraction, prompt and output injection)</t>
  </si>
  <si>
    <t xml:space="preserve">09</t>
  </si>
  <si>
    <t xml:space="preserve">Continuous monitoring enabled</t>
  </si>
  <si>
    <t xml:space="preserve">Monitor performance, data drift, fairness and system behaviour in production, with alerts that reach a named person.</t>
  </si>
  <si>
    <t xml:space="preserve">Monitoring dashboard; defined metrics and thresholds; alert routing; drift and performance reports over time.</t>
  </si>
  <si>
    <t xml:space="preserve">If accuracy dropped 10% after a vendor model update, who would get the alert, and how fast?</t>
  </si>
  <si>
    <t xml:space="preserve">ML operations / Platform owner</t>
  </si>
  <si>
    <t xml:space="preserve">Cl. 9.1; Annex A.6</t>
  </si>
  <si>
    <t xml:space="preserve">MANAGE 4.1; MEASURE 3.1</t>
  </si>
  <si>
    <t xml:space="preserve">Art. 72 (post-market monitoring)</t>
  </si>
  <si>
    <t xml:space="preserve">EN 18286:2026 (Art. 17(1)(h) post-market monitoring); Australia AI6 practice 5 (monitoring); ISO/IEC 27090:2026 (attack detection)</t>
  </si>
  <si>
    <t xml:space="preserve">10</t>
  </si>
  <si>
    <t xml:space="preserve">Incident response process established</t>
  </si>
  <si>
    <t xml:space="preserve">Define how AI incidents are detected, escalated, contained, remediated and reported, and rehearse it.</t>
  </si>
  <si>
    <t xml:space="preserve">AI incident playbook; severity definitions; incident log; at least one tabletop exercise with lessons learned.</t>
  </si>
  <si>
    <t xml:space="preserve">Can you switch the system off or roll it back today, and has anyone practised doing it?</t>
  </si>
  <si>
    <t xml:space="preserve">CISO / Head of operations</t>
  </si>
  <si>
    <t xml:space="preserve">Cl. 10.2; Annex A.8</t>
  </si>
  <si>
    <t xml:space="preserve">MANAGE 4.3; GOVERN 4.3</t>
  </si>
  <si>
    <t xml:space="preserve">Art. 73 (reporting of serious incidents)</t>
  </si>
  <si>
    <t xml:space="preserve">EN 18286:2026 (Art. 17(1)(i) serious-incident procedures); Australia AI6 practice 5 (incident thresholds)</t>
  </si>
  <si>
    <t xml:space="preserve">11</t>
  </si>
  <si>
    <t xml:space="preserve">Regulatory compliance reviews scheduled</t>
  </si>
  <si>
    <t xml:space="preserve">Track changing laws and standards and run periodic compliance assessments and independent audits.</t>
  </si>
  <si>
    <t xml:space="preserve">Regulatory horizon register; compliance assessment schedule; internal audit reports and management responses.</t>
  </si>
  <si>
    <t xml:space="preserve">When did a law affecting your AI last change, and how long did it take you to notice?</t>
  </si>
  <si>
    <t xml:space="preserve">Compliance / Internal audit</t>
  </si>
  <si>
    <t xml:space="preserve">Cl. 9.2, 9.3</t>
  </si>
  <si>
    <t xml:space="preserve">GOVERN 1.1</t>
  </si>
  <si>
    <t xml:space="preserve">Art. 43 (conformity assessment), Art. 113 (application dates)</t>
  </si>
  <si>
    <t xml:space="preserve">EN 18286:2026 (cited in the OJ on 14 Oct 2026; Art. 17(2)–(4) not covered); Australian Standards for AI (announced Jul 2026; legislation expected early 2027)</t>
  </si>
  <si>
    <t xml:space="preserve">12</t>
  </si>
  <si>
    <t xml:space="preserve">Generative AI usage rules created</t>
  </si>
  <si>
    <t xml:space="preserve">Set clear rules for safe, responsible and compliant use of generative AI tools and models, including approved tools and data limits.</t>
  </si>
  <si>
    <t xml:space="preserve">Generative AI standard; approved-tools list; data classification rules for prompts; output review and labelling requirements.</t>
  </si>
  <si>
    <t xml:space="preserve">Do staff know which tools are approved, and what data they must never paste into them?</t>
  </si>
  <si>
    <t xml:space="preserve">Chief AI Officer / CISO</t>
  </si>
  <si>
    <t xml:space="preserve">Annex A.9, A.10</t>
  </si>
  <si>
    <t xml:space="preserve">NIST AI 600-1 (Generative AI Profile)</t>
  </si>
  <si>
    <t xml:space="preserve">Art. 50 (transparency for certain AI systems), Art. 53 (GPAI providers)</t>
  </si>
  <si>
    <t xml:space="preserve">ISO/IEC 27090:2026 (prompt injection; sensitive information in outputs)</t>
  </si>
  <si>
    <t xml:space="preserve">Example of a filled row: Status = Evidenced · Assigned to = J. Smith (CRO) · Target date = 2026-12-15 · Evidence link = https://intranet/ai-register · Notes = Register reviewed by audit committee Nov 2026.</t>
  </si>
  <si>
    <t xml:space="preserve">Framework mapping: Framework references are indicative mappings to help you find the relevant requirement. "Also maps to" covers ISO/IEC 27090:2026 (AI security), EN 18286:2026 (the EU AI Act harmonised quality-management standard), IEEE 2863-2026 (organisational AI governance) and Australia's Guidance for AI Adoption (AI6). Verify against the current official text of each standard or law before relying on them for compliance.</t>
  </si>
  <si>
    <t xml:space="preserve">In progress</t>
  </si>
  <si>
    <t xml:space="preserve">Implemented</t>
  </si>
  <si>
    <t xml:space="preserve">Not applicable</t>
  </si>
  <si>
    <t xml:space="preserve">About</t>
  </si>
  <si>
    <t xml:space="preserve">Publisher</t>
  </si>
  <si>
    <t xml:space="preserve">NexGuide.AI</t>
  </si>
  <si>
    <t xml:space="preserve">Version</t>
  </si>
  <si>
    <t xml:space="preserve">1.1.0</t>
  </si>
  <si>
    <t xml:space="preserve">Updated</t>
  </si>
  <si>
    <t xml:space="preserve">2026-10-26</t>
  </si>
  <si>
    <t xml:space="preserve">Web version</t>
  </si>
  <si>
    <t xml:space="preserve">https://caiotk.github.io/NxgdAI-Governance-Checklist/</t>
  </si>
  <si>
    <t xml:space="preserve">Source repository</t>
  </si>
  <si>
    <t xml:space="preserve">https://github.com/caiotk/NxgdAI-Governance-Checklist</t>
  </si>
  <si>
    <t xml:space="preserve">How to use</t>
  </si>
  <si>
    <t xml:space="preserve">Set a Status for each control on the Checklist sheet. The Dashboard updates itself. A control counts as audit-ready only when it is Evidenced.</t>
  </si>
  <si>
    <t xml:space="preserve">Framework mapping</t>
  </si>
  <si>
    <t xml:space="preserve">Framework references are indicative mappings to help you find the relevant requirement. "Also maps to" covers ISO/IEC 27090:2026 (AI security), EN 18286:2026 (the EU AI Act harmonised quality-management standard), IEEE 2863-2026 (organisational AI governance) and Australia's Guidance for AI Adoption (AI6). Verify against the current official text of each standard or law before relying on them for compliance.</t>
  </si>
  <si>
    <t xml:space="preserve">Licence</t>
  </si>
  <si>
    <t xml:space="preserve">CC BY 4.0 — share and adapt with attribution to NexGuide.AI.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</si>
</sst>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;\-0%;\-"/>
    <numFmt numFmtId="167" formatCode="yyyy\-mm\-dd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D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9DB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tr">
        <f aca="false">Lists!A2</f>
        <v>Not started</v>
      </c>
      <c r="B5" s="5" t="n">
        <f aca="false">COUNTIF(Checklist!$L$6:$L$17,A5)</f>
        <v>12</v>
      </c>
    </row>
    <row r="6" customFormat="false" ht="15" hidden="false" customHeight="false" outlineLevel="0" collapsed="false">
      <c r="A6" s="4" t="str">
        <f aca="false">Lists!A3</f>
        <v>In progress</v>
      </c>
      <c r="B6" s="5" t="n">
        <f aca="false">COUNTIF(Checklist!$L$6:$L$17,A6)</f>
        <v>0</v>
      </c>
    </row>
    <row r="7" customFormat="false" ht="15" hidden="false" customHeight="false" outlineLevel="0" collapsed="false">
      <c r="A7" s="4" t="str">
        <f aca="false">Lists!A4</f>
        <v>Implemented</v>
      </c>
      <c r="B7" s="5" t="n">
        <f aca="false">COUNTIF(Checklist!$L$6:$L$17,A7)</f>
        <v>0</v>
      </c>
    </row>
    <row r="8" customFormat="false" ht="15" hidden="false" customHeight="false" outlineLevel="0" collapsed="false">
      <c r="A8" s="4" t="str">
        <f aca="false">Lists!A5</f>
        <v>Evidenced</v>
      </c>
      <c r="B8" s="5" t="n">
        <f aca="false">COUNTIF(Checklist!$L$6:$L$17,A8)</f>
        <v>0</v>
      </c>
    </row>
    <row r="9" customFormat="false" ht="15" hidden="false" customHeight="false" outlineLevel="0" collapsed="false">
      <c r="A9" s="4" t="str">
        <f aca="false">Lists!A6</f>
        <v>Not applicable</v>
      </c>
      <c r="B9" s="5" t="n">
        <f aca="false">COUNTIF(Checklist!$L$6:$L$17,A9)</f>
        <v>0</v>
      </c>
    </row>
    <row r="10" customFormat="false" ht="15" hidden="false" customHeight="false" outlineLevel="0" collapsed="false">
      <c r="A10" s="6" t="s">
        <v>4</v>
      </c>
      <c r="B10" s="6" t="n">
        <f aca="false">COUNTA(Checklist!$L$6:$L$17)</f>
        <v>12</v>
      </c>
    </row>
    <row r="12" customFormat="false" ht="15" hidden="false" customHeight="false" outlineLevel="0" collapsed="false">
      <c r="A12" s="5" t="s">
        <v>5</v>
      </c>
      <c r="B12" s="5" t="n">
        <f aca="false">B10-B9</f>
        <v>12</v>
      </c>
    </row>
    <row r="13" customFormat="false" ht="15" hidden="false" customHeight="false" outlineLevel="0" collapsed="false">
      <c r="A13" s="5" t="s">
        <v>6</v>
      </c>
      <c r="B13" s="5" t="n">
        <f aca="false">B7+B8</f>
        <v>0</v>
      </c>
    </row>
    <row r="14" customFormat="false" ht="15" hidden="false" customHeight="false" outlineLevel="0" collapsed="false">
      <c r="A14" s="6" t="s">
        <v>7</v>
      </c>
      <c r="B14" s="7" t="n">
        <f aca="false">IF(B12=0,0,B13/B12)</f>
        <v>0</v>
      </c>
    </row>
    <row r="15" customFormat="false" ht="15" hidden="false" customHeight="false" outlineLevel="0" collapsed="false">
      <c r="A15" s="6" t="s">
        <v>8</v>
      </c>
      <c r="B15" s="7" t="n">
        <f aca="false">IF(B12=0,0,B8/B12)</f>
        <v>0</v>
      </c>
    </row>
    <row r="17" customFormat="false" ht="15" hidden="false" customHeight="false" outlineLevel="0" collapsed="false">
      <c r="A17" s="8" t="s">
        <v>9</v>
      </c>
    </row>
    <row r="18" customFormat="false" ht="15" hidden="false" customHeight="false" outlineLevel="0" collapsed="false">
      <c r="A18" s="6" t="s">
        <v>10</v>
      </c>
      <c r="B18" s="6" t="s">
        <v>3</v>
      </c>
      <c r="C18" s="6" t="s">
        <v>11</v>
      </c>
    </row>
    <row r="19" customFormat="false" ht="15" hidden="false" customHeight="false" outlineLevel="0" collapsed="false">
      <c r="A19" s="5" t="s">
        <v>12</v>
      </c>
      <c r="B19" s="5" t="n">
        <f aca="false">COUNTIF(Checklist!$B$6:$B$17,A19)</f>
        <v>3</v>
      </c>
      <c r="C19" s="5" t="n">
        <f aca="false">COUNTIFS(Checklist!$B$6:$B$17,A19,Checklist!$L$6:$L$17,"Evidenced")</f>
        <v>0</v>
      </c>
    </row>
    <row r="20" customFormat="false" ht="15" hidden="false" customHeight="false" outlineLevel="0" collapsed="false">
      <c r="A20" s="5" t="s">
        <v>13</v>
      </c>
      <c r="B20" s="5" t="n">
        <f aca="false">COUNTIF(Checklist!$B$6:$B$17,A20)</f>
        <v>2</v>
      </c>
      <c r="C20" s="5" t="n">
        <f aca="false">COUNTIFS(Checklist!$B$6:$B$17,A20,Checklist!$L$6:$L$17,"Evidenced")</f>
        <v>0</v>
      </c>
    </row>
    <row r="21" customFormat="false" ht="15" hidden="false" customHeight="false" outlineLevel="0" collapsed="false">
      <c r="A21" s="5" t="s">
        <v>14</v>
      </c>
      <c r="B21" s="5" t="n">
        <f aca="false">COUNTIF(Checklist!$B$6:$B$17,A21)</f>
        <v>1</v>
      </c>
      <c r="C21" s="5" t="n">
        <f aca="false">COUNTIFS(Checklist!$B$6:$B$17,A21,Checklist!$L$6:$L$17,"Evidenced")</f>
        <v>0</v>
      </c>
    </row>
    <row r="22" customFormat="false" ht="15" hidden="false" customHeight="false" outlineLevel="0" collapsed="false">
      <c r="A22" s="5" t="s">
        <v>15</v>
      </c>
      <c r="B22" s="5" t="n">
        <f aca="false">COUNTIF(Checklist!$B$6:$B$17,A22)</f>
        <v>2</v>
      </c>
      <c r="C22" s="5" t="n">
        <f aca="false">COUNTIFS(Checklist!$B$6:$B$17,A22,Checklist!$L$6:$L$17,"Evidenced")</f>
        <v>0</v>
      </c>
    </row>
    <row r="23" customFormat="false" ht="15" hidden="false" customHeight="false" outlineLevel="0" collapsed="false">
      <c r="A23" s="5" t="s">
        <v>16</v>
      </c>
      <c r="B23" s="5" t="n">
        <f aca="false">COUNTIF(Checklist!$B$6:$B$17,A23)</f>
        <v>1</v>
      </c>
      <c r="C23" s="5" t="n">
        <f aca="false">COUNTIFS(Checklist!$B$6:$B$17,A23,Checklist!$L$6:$L$17,"Evidenced")</f>
        <v>0</v>
      </c>
    </row>
    <row r="24" customFormat="false" ht="15" hidden="false" customHeight="false" outlineLevel="0" collapsed="false">
      <c r="A24" s="5" t="s">
        <v>17</v>
      </c>
      <c r="B24" s="5" t="n">
        <f aca="false">COUNTIF(Checklist!$B$6:$B$17,A24)</f>
        <v>2</v>
      </c>
      <c r="C24" s="5" t="n">
        <f aca="false">COUNTIFS(Checklist!$B$6:$B$17,A24,Checklist!$L$6:$L$17,"Evidenced")</f>
        <v>0</v>
      </c>
    </row>
    <row r="25" customFormat="false" ht="15" hidden="false" customHeight="false" outlineLevel="0" collapsed="false">
      <c r="A25" s="5" t="s">
        <v>18</v>
      </c>
      <c r="B25" s="5" t="n">
        <f aca="false">COUNTIF(Checklist!$B$6:$B$17,A25)</f>
        <v>1</v>
      </c>
      <c r="C25" s="5" t="n">
        <f aca="false">COUNTIFS(Checklist!$B$6:$B$17,A25,Checklist!$L$6:$L$17,"Evidenced")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5" min="4" style="0" width="44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9" min="8" style="0" width="20"/>
    <col collapsed="false" customWidth="true" hidden="false" outlineLevel="0" max="10" min="10" style="0" width="26"/>
    <col collapsed="false" customWidth="true" hidden="false" outlineLevel="0" max="11" min="11" style="0" width="32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5" min="15" style="0" width="28"/>
    <col collapsed="false" customWidth="true" hidden="false" outlineLevel="0" max="16" min="16" style="0" width="30"/>
  </cols>
  <sheetData>
    <row r="1" customFormat="false" ht="22.0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3" customFormat="false" ht="15" hidden="false" customHeight="false" outlineLevel="0" collapsed="false">
      <c r="A3" s="9" t="s">
        <v>21</v>
      </c>
    </row>
    <row r="5" customFormat="false" ht="15" hidden="false" customHeight="false" outlineLevel="0" collapsed="false">
      <c r="A5" s="10" t="s">
        <v>22</v>
      </c>
      <c r="B5" s="10" t="s">
        <v>10</v>
      </c>
      <c r="C5" s="10" t="s">
        <v>23</v>
      </c>
      <c r="D5" s="10" t="s">
        <v>24</v>
      </c>
      <c r="E5" s="10" t="s">
        <v>25</v>
      </c>
      <c r="F5" s="10" t="s">
        <v>26</v>
      </c>
      <c r="G5" s="10" t="s">
        <v>27</v>
      </c>
      <c r="H5" s="10" t="s">
        <v>28</v>
      </c>
      <c r="I5" s="10" t="s">
        <v>29</v>
      </c>
      <c r="J5" s="10" t="s">
        <v>30</v>
      </c>
      <c r="K5" s="10" t="s">
        <v>31</v>
      </c>
      <c r="L5" s="10" t="s">
        <v>2</v>
      </c>
      <c r="M5" s="10" t="s">
        <v>32</v>
      </c>
      <c r="N5" s="10" t="s">
        <v>33</v>
      </c>
      <c r="O5" s="10" t="s">
        <v>34</v>
      </c>
      <c r="P5" s="10" t="s">
        <v>35</v>
      </c>
    </row>
    <row r="6" customFormat="false" ht="35.05" hidden="false" customHeight="false" outlineLevel="0" collapsed="false">
      <c r="A6" s="11" t="s">
        <v>36</v>
      </c>
      <c r="B6" s="11" t="s">
        <v>12</v>
      </c>
      <c r="C6" s="12" t="s">
        <v>37</v>
      </c>
      <c r="D6" s="11" t="s">
        <v>38</v>
      </c>
      <c r="E6" s="11" t="s">
        <v>39</v>
      </c>
      <c r="F6" s="11" t="s">
        <v>40</v>
      </c>
      <c r="G6" s="11" t="s">
        <v>41</v>
      </c>
      <c r="H6" s="11" t="s">
        <v>42</v>
      </c>
      <c r="I6" s="11" t="s">
        <v>43</v>
      </c>
      <c r="J6" s="11" t="s">
        <v>44</v>
      </c>
      <c r="K6" s="11" t="s">
        <v>45</v>
      </c>
      <c r="L6" s="13" t="s">
        <v>46</v>
      </c>
      <c r="M6" s="13"/>
      <c r="N6" s="14"/>
      <c r="O6" s="13"/>
      <c r="P6" s="13"/>
    </row>
    <row r="7" customFormat="false" ht="46.25" hidden="false" customHeight="false" outlineLevel="0" collapsed="false">
      <c r="A7" s="11" t="s">
        <v>47</v>
      </c>
      <c r="B7" s="11" t="s">
        <v>12</v>
      </c>
      <c r="C7" s="12" t="s">
        <v>48</v>
      </c>
      <c r="D7" s="11" t="s">
        <v>49</v>
      </c>
      <c r="E7" s="11" t="s">
        <v>50</v>
      </c>
      <c r="F7" s="11" t="s">
        <v>51</v>
      </c>
      <c r="G7" s="11" t="s">
        <v>52</v>
      </c>
      <c r="H7" s="11" t="s">
        <v>53</v>
      </c>
      <c r="I7" s="11" t="s">
        <v>54</v>
      </c>
      <c r="J7" s="11" t="s">
        <v>55</v>
      </c>
      <c r="K7" s="11" t="s">
        <v>56</v>
      </c>
      <c r="L7" s="13" t="s">
        <v>46</v>
      </c>
      <c r="M7" s="13"/>
      <c r="N7" s="14"/>
      <c r="O7" s="13"/>
      <c r="P7" s="13"/>
    </row>
    <row r="8" customFormat="false" ht="46.25" hidden="false" customHeight="false" outlineLevel="0" collapsed="false">
      <c r="A8" s="11" t="s">
        <v>57</v>
      </c>
      <c r="B8" s="11" t="s">
        <v>13</v>
      </c>
      <c r="C8" s="12" t="s">
        <v>58</v>
      </c>
      <c r="D8" s="11" t="s">
        <v>59</v>
      </c>
      <c r="E8" s="11" t="s">
        <v>60</v>
      </c>
      <c r="F8" s="11" t="s">
        <v>61</v>
      </c>
      <c r="G8" s="11" t="s">
        <v>62</v>
      </c>
      <c r="H8" s="11" t="s">
        <v>63</v>
      </c>
      <c r="I8" s="11" t="s">
        <v>64</v>
      </c>
      <c r="J8" s="11" t="s">
        <v>65</v>
      </c>
      <c r="K8" s="11" t="s">
        <v>66</v>
      </c>
      <c r="L8" s="13" t="s">
        <v>46</v>
      </c>
      <c r="M8" s="13"/>
      <c r="N8" s="14"/>
      <c r="O8" s="13"/>
      <c r="P8" s="13"/>
    </row>
    <row r="9" customFormat="false" ht="46.25" hidden="false" customHeight="false" outlineLevel="0" collapsed="false">
      <c r="A9" s="11" t="s">
        <v>67</v>
      </c>
      <c r="B9" s="11" t="s">
        <v>13</v>
      </c>
      <c r="C9" s="12" t="s">
        <v>68</v>
      </c>
      <c r="D9" s="11" t="s">
        <v>69</v>
      </c>
      <c r="E9" s="11" t="s">
        <v>70</v>
      </c>
      <c r="F9" s="11" t="s">
        <v>71</v>
      </c>
      <c r="G9" s="11" t="s">
        <v>72</v>
      </c>
      <c r="H9" s="11" t="s">
        <v>73</v>
      </c>
      <c r="I9" s="11" t="s">
        <v>74</v>
      </c>
      <c r="J9" s="11" t="s">
        <v>75</v>
      </c>
      <c r="K9" s="11" t="s">
        <v>76</v>
      </c>
      <c r="L9" s="13" t="s">
        <v>46</v>
      </c>
      <c r="M9" s="13"/>
      <c r="N9" s="14"/>
      <c r="O9" s="13"/>
      <c r="P9" s="13"/>
    </row>
    <row r="10" customFormat="false" ht="35.05" hidden="false" customHeight="false" outlineLevel="0" collapsed="false">
      <c r="A10" s="11" t="s">
        <v>77</v>
      </c>
      <c r="B10" s="11" t="s">
        <v>14</v>
      </c>
      <c r="C10" s="12" t="s">
        <v>78</v>
      </c>
      <c r="D10" s="11" t="s">
        <v>79</v>
      </c>
      <c r="E10" s="11" t="s">
        <v>80</v>
      </c>
      <c r="F10" s="11" t="s">
        <v>81</v>
      </c>
      <c r="G10" s="11" t="s">
        <v>82</v>
      </c>
      <c r="H10" s="11" t="s">
        <v>83</v>
      </c>
      <c r="I10" s="11" t="s">
        <v>84</v>
      </c>
      <c r="J10" s="11" t="s">
        <v>85</v>
      </c>
      <c r="K10" s="11" t="s">
        <v>86</v>
      </c>
      <c r="L10" s="13" t="s">
        <v>46</v>
      </c>
      <c r="M10" s="13"/>
      <c r="N10" s="14"/>
      <c r="O10" s="13"/>
      <c r="P10" s="13"/>
    </row>
    <row r="11" customFormat="false" ht="35.05" hidden="false" customHeight="false" outlineLevel="0" collapsed="false">
      <c r="A11" s="11" t="s">
        <v>87</v>
      </c>
      <c r="B11" s="11" t="s">
        <v>15</v>
      </c>
      <c r="C11" s="12" t="s">
        <v>88</v>
      </c>
      <c r="D11" s="11" t="s">
        <v>89</v>
      </c>
      <c r="E11" s="11" t="s">
        <v>90</v>
      </c>
      <c r="F11" s="11" t="s">
        <v>91</v>
      </c>
      <c r="G11" s="11" t="s">
        <v>92</v>
      </c>
      <c r="H11" s="11" t="s">
        <v>93</v>
      </c>
      <c r="I11" s="11" t="s">
        <v>94</v>
      </c>
      <c r="J11" s="11" t="s">
        <v>95</v>
      </c>
      <c r="K11" s="11" t="s">
        <v>96</v>
      </c>
      <c r="L11" s="13" t="s">
        <v>46</v>
      </c>
      <c r="M11" s="13"/>
      <c r="N11" s="14"/>
      <c r="O11" s="13"/>
      <c r="P11" s="13"/>
    </row>
    <row r="12" customFormat="false" ht="35.05" hidden="false" customHeight="false" outlineLevel="0" collapsed="false">
      <c r="A12" s="11" t="s">
        <v>97</v>
      </c>
      <c r="B12" s="11" t="s">
        <v>15</v>
      </c>
      <c r="C12" s="12" t="s">
        <v>98</v>
      </c>
      <c r="D12" s="11" t="s">
        <v>99</v>
      </c>
      <c r="E12" s="11" t="s">
        <v>100</v>
      </c>
      <c r="F12" s="11" t="s">
        <v>101</v>
      </c>
      <c r="G12" s="11" t="s">
        <v>102</v>
      </c>
      <c r="H12" s="11" t="s">
        <v>103</v>
      </c>
      <c r="I12" s="11" t="s">
        <v>104</v>
      </c>
      <c r="J12" s="11" t="s">
        <v>105</v>
      </c>
      <c r="K12" s="11" t="s">
        <v>106</v>
      </c>
      <c r="L12" s="13" t="s">
        <v>46</v>
      </c>
      <c r="M12" s="13"/>
      <c r="N12" s="14"/>
      <c r="O12" s="13"/>
      <c r="P12" s="13"/>
    </row>
    <row r="13" customFormat="false" ht="46.25" hidden="false" customHeight="false" outlineLevel="0" collapsed="false">
      <c r="A13" s="11" t="s">
        <v>107</v>
      </c>
      <c r="B13" s="11" t="s">
        <v>16</v>
      </c>
      <c r="C13" s="12" t="s">
        <v>108</v>
      </c>
      <c r="D13" s="11" t="s">
        <v>109</v>
      </c>
      <c r="E13" s="11" t="s">
        <v>110</v>
      </c>
      <c r="F13" s="11" t="s">
        <v>111</v>
      </c>
      <c r="G13" s="11" t="s">
        <v>112</v>
      </c>
      <c r="H13" s="11" t="s">
        <v>113</v>
      </c>
      <c r="I13" s="11" t="s">
        <v>114</v>
      </c>
      <c r="J13" s="11" t="s">
        <v>115</v>
      </c>
      <c r="K13" s="11" t="s">
        <v>116</v>
      </c>
      <c r="L13" s="13" t="s">
        <v>46</v>
      </c>
      <c r="M13" s="13"/>
      <c r="N13" s="14"/>
      <c r="O13" s="13"/>
      <c r="P13" s="13"/>
    </row>
    <row r="14" customFormat="false" ht="46.25" hidden="false" customHeight="false" outlineLevel="0" collapsed="false">
      <c r="A14" s="11" t="s">
        <v>117</v>
      </c>
      <c r="B14" s="11" t="s">
        <v>17</v>
      </c>
      <c r="C14" s="12" t="s">
        <v>118</v>
      </c>
      <c r="D14" s="11" t="s">
        <v>119</v>
      </c>
      <c r="E14" s="11" t="s">
        <v>120</v>
      </c>
      <c r="F14" s="11" t="s">
        <v>121</v>
      </c>
      <c r="G14" s="11" t="s">
        <v>122</v>
      </c>
      <c r="H14" s="11" t="s">
        <v>123</v>
      </c>
      <c r="I14" s="11" t="s">
        <v>124</v>
      </c>
      <c r="J14" s="11" t="s">
        <v>125</v>
      </c>
      <c r="K14" s="11" t="s">
        <v>126</v>
      </c>
      <c r="L14" s="13" t="s">
        <v>46</v>
      </c>
      <c r="M14" s="13"/>
      <c r="N14" s="14"/>
      <c r="O14" s="13"/>
      <c r="P14" s="13"/>
    </row>
    <row r="15" customFormat="false" ht="35.05" hidden="false" customHeight="false" outlineLevel="0" collapsed="false">
      <c r="A15" s="11" t="s">
        <v>127</v>
      </c>
      <c r="B15" s="11" t="s">
        <v>17</v>
      </c>
      <c r="C15" s="12" t="s">
        <v>128</v>
      </c>
      <c r="D15" s="11" t="s">
        <v>129</v>
      </c>
      <c r="E15" s="11" t="s">
        <v>130</v>
      </c>
      <c r="F15" s="11" t="s">
        <v>131</v>
      </c>
      <c r="G15" s="11" t="s">
        <v>132</v>
      </c>
      <c r="H15" s="11" t="s">
        <v>133</v>
      </c>
      <c r="I15" s="11" t="s">
        <v>134</v>
      </c>
      <c r="J15" s="11" t="s">
        <v>135</v>
      </c>
      <c r="K15" s="11" t="s">
        <v>136</v>
      </c>
      <c r="L15" s="13" t="s">
        <v>46</v>
      </c>
      <c r="M15" s="13"/>
      <c r="N15" s="14"/>
      <c r="O15" s="13"/>
      <c r="P15" s="13"/>
    </row>
    <row r="16" customFormat="false" ht="57.45" hidden="false" customHeight="false" outlineLevel="0" collapsed="false">
      <c r="A16" s="11" t="s">
        <v>137</v>
      </c>
      <c r="B16" s="11" t="s">
        <v>18</v>
      </c>
      <c r="C16" s="12" t="s">
        <v>138</v>
      </c>
      <c r="D16" s="11" t="s">
        <v>139</v>
      </c>
      <c r="E16" s="11" t="s">
        <v>140</v>
      </c>
      <c r="F16" s="11" t="s">
        <v>141</v>
      </c>
      <c r="G16" s="11" t="s">
        <v>142</v>
      </c>
      <c r="H16" s="11" t="s">
        <v>143</v>
      </c>
      <c r="I16" s="11" t="s">
        <v>144</v>
      </c>
      <c r="J16" s="11" t="s">
        <v>145</v>
      </c>
      <c r="K16" s="11" t="s">
        <v>146</v>
      </c>
      <c r="L16" s="13" t="s">
        <v>46</v>
      </c>
      <c r="M16" s="13"/>
      <c r="N16" s="14"/>
      <c r="O16" s="13"/>
      <c r="P16" s="13"/>
    </row>
    <row r="17" customFormat="false" ht="35.05" hidden="false" customHeight="false" outlineLevel="0" collapsed="false">
      <c r="A17" s="11" t="s">
        <v>147</v>
      </c>
      <c r="B17" s="11" t="s">
        <v>12</v>
      </c>
      <c r="C17" s="12" t="s">
        <v>148</v>
      </c>
      <c r="D17" s="11" t="s">
        <v>149</v>
      </c>
      <c r="E17" s="11" t="s">
        <v>150</v>
      </c>
      <c r="F17" s="11" t="s">
        <v>151</v>
      </c>
      <c r="G17" s="11" t="s">
        <v>152</v>
      </c>
      <c r="H17" s="11" t="s">
        <v>153</v>
      </c>
      <c r="I17" s="11" t="s">
        <v>154</v>
      </c>
      <c r="J17" s="11" t="s">
        <v>155</v>
      </c>
      <c r="K17" s="11" t="s">
        <v>156</v>
      </c>
      <c r="L17" s="13" t="s">
        <v>46</v>
      </c>
      <c r="M17" s="13"/>
      <c r="N17" s="14"/>
      <c r="O17" s="13"/>
      <c r="P17" s="13"/>
    </row>
    <row r="19" customFormat="false" ht="15" hidden="false" customHeight="false" outlineLevel="0" collapsed="false">
      <c r="A19" s="15" t="s">
        <v>157</v>
      </c>
    </row>
    <row r="20" customFormat="false" ht="15" hidden="false" customHeight="false" outlineLevel="0" collapsed="false">
      <c r="A20" s="15" t="s">
        <v>158</v>
      </c>
    </row>
  </sheetData>
  <autoFilter ref="A5:P17"/>
  <conditionalFormatting sqref="L6:L17">
    <cfRule type="expression" priority="2" aboveAverage="0" equalAverage="0" bottom="0" percent="0" rank="0" text="" dxfId="6">
      <formula>$L6="Not started"</formula>
    </cfRule>
    <cfRule type="expression" priority="3" aboveAverage="0" equalAverage="0" bottom="0" percent="0" rank="0" text="" dxfId="7">
      <formula>$L6="In progress"</formula>
    </cfRule>
    <cfRule type="expression" priority="4" aboveAverage="0" equalAverage="0" bottom="0" percent="0" rank="0" text="" dxfId="8">
      <formula>$L6="Implemented"</formula>
    </cfRule>
    <cfRule type="expression" priority="5" aboveAverage="0" equalAverage="0" bottom="0" percent="0" rank="0" text="" dxfId="9">
      <formula>$L6="Evidenced"</formula>
    </cfRule>
    <cfRule type="expression" priority="6" aboveAverage="0" equalAverage="0" bottom="0" percent="0" rank="0" text="" dxfId="10">
      <formula>$L6="Not applicable"</formula>
    </cfRule>
  </conditionalFormatting>
  <dataValidations count="1">
    <dataValidation allowBlank="true" error="Choose a status from the list." errorStyle="stop" operator="between" showDropDown="false" showErrorMessage="false" showInputMessage="false" sqref="L6:L17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</cols>
  <sheetData>
    <row r="1" customFormat="false" ht="15" hidden="false" customHeight="false" outlineLevel="0" collapsed="false">
      <c r="A1" s="6" t="s">
        <v>2</v>
      </c>
    </row>
    <row r="2" customFormat="false" ht="15" hidden="false" customHeight="false" outlineLevel="0" collapsed="false">
      <c r="A2" s="5" t="s">
        <v>46</v>
      </c>
    </row>
    <row r="3" customFormat="false" ht="15" hidden="false" customHeight="false" outlineLevel="0" collapsed="false">
      <c r="A3" s="5" t="s">
        <v>159</v>
      </c>
    </row>
    <row r="4" customFormat="false" ht="15" hidden="false" customHeight="false" outlineLevel="0" collapsed="false">
      <c r="A4" s="5" t="s">
        <v>160</v>
      </c>
    </row>
    <row r="5" customFormat="false" ht="15" hidden="false" customHeight="false" outlineLevel="0" collapsed="false">
      <c r="A5" s="5" t="s">
        <v>11</v>
      </c>
    </row>
    <row r="6" customFormat="false" ht="15" hidden="false" customHeight="false" outlineLevel="0" collapsed="false">
      <c r="A6" s="5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6" t="s">
        <v>162</v>
      </c>
    </row>
    <row r="2" customFormat="false" ht="15" hidden="false" customHeight="false" outlineLevel="0" collapsed="false">
      <c r="A2" s="17" t="s">
        <v>163</v>
      </c>
      <c r="B2" s="18" t="s">
        <v>164</v>
      </c>
    </row>
    <row r="3" customFormat="false" ht="15" hidden="false" customHeight="false" outlineLevel="0" collapsed="false">
      <c r="A3" s="17" t="s">
        <v>165</v>
      </c>
      <c r="B3" s="18" t="s">
        <v>166</v>
      </c>
    </row>
    <row r="4" customFormat="false" ht="15" hidden="false" customHeight="false" outlineLevel="0" collapsed="false">
      <c r="A4" s="17" t="s">
        <v>167</v>
      </c>
      <c r="B4" s="18" t="s">
        <v>168</v>
      </c>
    </row>
    <row r="5" customFormat="false" ht="15" hidden="false" customHeight="false" outlineLevel="0" collapsed="false">
      <c r="A5" s="17" t="s">
        <v>169</v>
      </c>
      <c r="B5" s="18" t="s">
        <v>170</v>
      </c>
    </row>
    <row r="6" customFormat="false" ht="15" hidden="false" customHeight="false" outlineLevel="0" collapsed="false">
      <c r="A6" s="17" t="s">
        <v>171</v>
      </c>
      <c r="B6" s="18" t="s">
        <v>172</v>
      </c>
    </row>
    <row r="7" customFormat="false" ht="26.85" hidden="false" customHeight="false" outlineLevel="0" collapsed="false">
      <c r="A7" s="17" t="s">
        <v>173</v>
      </c>
      <c r="B7" s="18" t="s">
        <v>174</v>
      </c>
    </row>
    <row r="8" customFormat="false" ht="64.9" hidden="false" customHeight="false" outlineLevel="0" collapsed="false">
      <c r="A8" s="17" t="s">
        <v>175</v>
      </c>
      <c r="B8" s="18" t="s">
        <v>176</v>
      </c>
    </row>
    <row r="9" customFormat="false" ht="15" hidden="false" customHeight="false" outlineLevel="0" collapsed="false">
      <c r="A9" s="17" t="s">
        <v>177</v>
      </c>
      <c r="B9" s="18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2026-10-26T02:16:29Z</dcterms:created>
  <dc:creator>NexGuide.AI</dc:creator>
  <dc:description/>
  <dc:language>en-US</dc:language>
  <cp:lastModifiedBy/>
  <dcterms:modified xsi:type="dcterms:W3CDTF">2026-10-26T02:16:29Z</dcterms:modified>
  <cp:revision>0</cp:revision>
  <dc:subject/>
  <dc:title>AI Governance Checklist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